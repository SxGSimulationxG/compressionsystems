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Plot" sheetId="2" r:id="rId5"/>
  </sheets>
  <definedNames/>
  <calcPr/>
</workbook>
</file>

<file path=xl/sharedStrings.xml><?xml version="1.0" encoding="utf-8"?>
<sst xmlns="http://schemas.openxmlformats.org/spreadsheetml/2006/main" count="131" uniqueCount="40">
  <si>
    <t>Example</t>
  </si>
  <si>
    <t>Storage Usage in Mbit</t>
  </si>
  <si>
    <t>Entropy H</t>
  </si>
  <si>
    <t>Compression System</t>
  </si>
  <si>
    <t>Processes</t>
  </si>
  <si>
    <t>Compressed Size</t>
  </si>
  <si>
    <t>Average Code Word Length</t>
  </si>
  <si>
    <t>Links to Examples</t>
  </si>
  <si>
    <t>Wordnik</t>
  </si>
  <si>
    <t>Huffman</t>
  </si>
  <si>
    <t>https://raw.githubusercontent.com/wordnik/wordlist/refs/heads/main/wordlist-20210729.txt</t>
  </si>
  <si>
    <t>Shakespeare</t>
  </si>
  <si>
    <t>Shannon</t>
  </si>
  <si>
    <t>https://gutenberg.org/cache/epub/100/pg100.txt</t>
  </si>
  <si>
    <t>alice29</t>
  </si>
  <si>
    <t>Fano</t>
  </si>
  <si>
    <t>Remaining...</t>
  </si>
  <si>
    <t>https://corpus.canterbury.ac.nz/descriptions/index.html</t>
  </si>
  <si>
    <t>asyoulik</t>
  </si>
  <si>
    <t>Comparison with Wordnik</t>
  </si>
  <si>
    <t>cp</t>
  </si>
  <si>
    <t>fields</t>
  </si>
  <si>
    <t>lcet10</t>
  </si>
  <si>
    <t>plrabn12</t>
  </si>
  <si>
    <t>e.coli</t>
  </si>
  <si>
    <t>world192</t>
  </si>
  <si>
    <t>Comparison with Shakespeare</t>
  </si>
  <si>
    <t>The number of processes is relative, different processes require a different amount of time and use different components, this number sould be interpreted vaguely.</t>
  </si>
  <si>
    <t>Compression size does not include the storage space required for the compression scheme, the larger the data to be compressed the less statistically relevent this size gets, for simplicity we won't add this but for smaller examples you should remember this fact</t>
  </si>
  <si>
    <t>Comparison with alice29</t>
  </si>
  <si>
    <t>For simplicity the storage usage for the examples are calculated by the number of characters multiplied by 8. This is comprable to the ASCII coded character set but mostly inacurate due to the fact most systems use UTF8 or UTF32</t>
  </si>
  <si>
    <t>Comparison with asyoulik</t>
  </si>
  <si>
    <t>Comparison with cp</t>
  </si>
  <si>
    <t>Comparison with fields</t>
  </si>
  <si>
    <t>Comparison with lcet10</t>
  </si>
  <si>
    <t>Comparison with plrabn12</t>
  </si>
  <si>
    <t>Comparison with e.coli</t>
  </si>
  <si>
    <t>Comparison with world192</t>
  </si>
  <si>
    <t>Org.Storage to Avg Code Word Length</t>
  </si>
  <si>
    <t>Entropy to Avg Code Word Length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</si>
</sst>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CCCCCC"/>
        <bgColor rgb="FFCCCCC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Fill="1" applyFont="1"/>
    <xf borderId="0" fillId="0" fontId="2"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1" numFmtId="0" xfId="0" applyAlignment="1" applyFont="1">
      <alignment readingOrder="0"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Original Storage Size vs. Avg. Code Word Length</a:t>
            </a:r>
          </a:p>
        </c:rich>
      </c:tx>
      <c:overlay val="0"/>
    </c:title>
    <c:plotArea>
      <c:layout/>
      <c:lineChart>
        <c:ser>
          <c:idx val="0"/>
          <c:order val="0"/>
          <c:tx>
            <c:strRef>
              <c:f>Plot!$A$3</c:f>
            </c:strRef>
          </c:tx>
          <c:spPr>
            <a:ln cmpd="sng">
              <a:solidFill>
                <a:srgbClr val="4285F4"/>
              </a:solidFill>
            </a:ln>
          </c:spPr>
          <c:marker>
            <c:symbol val="none"/>
          </c:marker>
          <c:cat>
            <c:strRef>
              <c:f>Plot!$B$2:$K$2</c:f>
            </c:strRef>
          </c:cat>
          <c:val>
            <c:numRef>
              <c:f>Plot!$B$3:$K$3</c:f>
              <c:numCache/>
            </c:numRef>
          </c:val>
          <c:smooth val="0"/>
        </c:ser>
        <c:ser>
          <c:idx val="1"/>
          <c:order val="1"/>
          <c:tx>
            <c:strRef>
              <c:f>Plot!$A$4</c:f>
            </c:strRef>
          </c:tx>
          <c:spPr>
            <a:ln cmpd="sng">
              <a:solidFill>
                <a:srgbClr val="EA4335"/>
              </a:solidFill>
            </a:ln>
          </c:spPr>
          <c:marker>
            <c:symbol val="none"/>
          </c:marker>
          <c:cat>
            <c:strRef>
              <c:f>Plot!$B$2:$K$2</c:f>
            </c:strRef>
          </c:cat>
          <c:val>
            <c:numRef>
              <c:f>Plot!$B$4:$K$4</c:f>
              <c:numCache/>
            </c:numRef>
          </c:val>
          <c:smooth val="0"/>
        </c:ser>
        <c:ser>
          <c:idx val="2"/>
          <c:order val="2"/>
          <c:tx>
            <c:strRef>
              <c:f>Plot!$A$5</c:f>
            </c:strRef>
          </c:tx>
          <c:spPr>
            <a:ln cmpd="sng">
              <a:solidFill>
                <a:srgbClr val="FBBC04"/>
              </a:solidFill>
            </a:ln>
          </c:spPr>
          <c:marker>
            <c:symbol val="none"/>
          </c:marker>
          <c:cat>
            <c:strRef>
              <c:f>Plot!$B$2:$K$2</c:f>
            </c:strRef>
          </c:cat>
          <c:val>
            <c:numRef>
              <c:f>Plot!$B$5:$K$5</c:f>
              <c:numCache/>
            </c:numRef>
          </c:val>
          <c:smooth val="0"/>
        </c:ser>
        <c:axId val="1124856034"/>
        <c:axId val="1727518970"/>
      </c:lineChart>
      <c:catAx>
        <c:axId val="11248560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Original Storage Usage in Mbit.</a:t>
                </a:r>
              </a:p>
            </c:rich>
          </c:tx>
          <c:overlay val="0"/>
        </c:title>
        <c:numFmt formatCode="General" sourceLinked="1"/>
        <c:majorTickMark val="none"/>
        <c:minorTickMark val="none"/>
        <c:spPr/>
        <c:txPr>
          <a:bodyPr/>
          <a:lstStyle/>
          <a:p>
            <a:pPr lvl="0">
              <a:defRPr b="0">
                <a:solidFill>
                  <a:srgbClr val="000000"/>
                </a:solidFill>
                <a:latin typeface="+mn-lt"/>
              </a:defRPr>
            </a:pPr>
          </a:p>
        </c:txPr>
        <c:crossAx val="1727518970"/>
      </c:catAx>
      <c:valAx>
        <c:axId val="1727518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Code Word Length in bits/word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2485603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Entropy vs. Avg. Code Word Length</a:t>
            </a:r>
          </a:p>
        </c:rich>
      </c:tx>
      <c:overlay val="0"/>
    </c:title>
    <c:plotArea>
      <c:layout/>
      <c:lineChart>
        <c:ser>
          <c:idx val="0"/>
          <c:order val="0"/>
          <c:tx>
            <c:strRef>
              <c:f>Plot!$A$9</c:f>
            </c:strRef>
          </c:tx>
          <c:spPr>
            <a:ln cmpd="sng">
              <a:solidFill>
                <a:srgbClr val="4285F4"/>
              </a:solidFill>
            </a:ln>
          </c:spPr>
          <c:marker>
            <c:symbol val="none"/>
          </c:marker>
          <c:cat>
            <c:strRef>
              <c:f>Plot!$B$8:$K$8</c:f>
            </c:strRef>
          </c:cat>
          <c:val>
            <c:numRef>
              <c:f>Plot!$B$9:$K$9</c:f>
              <c:numCache/>
            </c:numRef>
          </c:val>
          <c:smooth val="0"/>
        </c:ser>
        <c:ser>
          <c:idx val="1"/>
          <c:order val="1"/>
          <c:tx>
            <c:strRef>
              <c:f>Plot!$A$10</c:f>
            </c:strRef>
          </c:tx>
          <c:spPr>
            <a:ln cmpd="sng">
              <a:solidFill>
                <a:srgbClr val="EA4335"/>
              </a:solidFill>
            </a:ln>
          </c:spPr>
          <c:marker>
            <c:symbol val="none"/>
          </c:marker>
          <c:cat>
            <c:strRef>
              <c:f>Plot!$B$8:$K$8</c:f>
            </c:strRef>
          </c:cat>
          <c:val>
            <c:numRef>
              <c:f>Plot!$B$10:$K$10</c:f>
              <c:numCache/>
            </c:numRef>
          </c:val>
          <c:smooth val="0"/>
        </c:ser>
        <c:ser>
          <c:idx val="2"/>
          <c:order val="2"/>
          <c:tx>
            <c:strRef>
              <c:f>Plot!$A$11</c:f>
            </c:strRef>
          </c:tx>
          <c:spPr>
            <a:ln cmpd="sng">
              <a:solidFill>
                <a:srgbClr val="FBBC04"/>
              </a:solidFill>
            </a:ln>
          </c:spPr>
          <c:marker>
            <c:symbol val="none"/>
          </c:marker>
          <c:cat>
            <c:strRef>
              <c:f>Plot!$B$8:$K$8</c:f>
            </c:strRef>
          </c:cat>
          <c:val>
            <c:numRef>
              <c:f>Plot!$B$11:$K$11</c:f>
              <c:numCache/>
            </c:numRef>
          </c:val>
          <c:smooth val="0"/>
        </c:ser>
        <c:axId val="645179931"/>
        <c:axId val="103161927"/>
      </c:lineChart>
      <c:catAx>
        <c:axId val="6451799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Information Entropy in bits/Information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03161927"/>
      </c:catAx>
      <c:valAx>
        <c:axId val="1031619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Code Word Length in bits/word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517993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371475</xdr:colOff>
      <xdr:row>0</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371475</xdr:colOff>
      <xdr:row>18</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aw.githubusercontent.com/wordnik/wordlist/refs/heads/main/wordlist-20210729.txt" TargetMode="External"/><Relationship Id="rId2" Type="http://schemas.openxmlformats.org/officeDocument/2006/relationships/hyperlink" Target="https://gutenberg.org/cache/epub/100/pg100.txt" TargetMode="External"/><Relationship Id="rId3" Type="http://schemas.openxmlformats.org/officeDocument/2006/relationships/hyperlink" Target="https://corpus.canterbury.ac.nz/descriptions/index.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5" max="5" width="16.88"/>
    <col customWidth="1" min="7" max="7" width="14.13"/>
    <col customWidth="1" min="8" max="8" width="21.63"/>
    <col customWidth="1" min="10" max="10" width="14.5"/>
  </cols>
  <sheetData>
    <row r="1">
      <c r="A1" s="1" t="s">
        <v>0</v>
      </c>
      <c r="B1" s="1" t="s">
        <v>1</v>
      </c>
      <c r="C1" s="1" t="s">
        <v>2</v>
      </c>
      <c r="D1" s="2"/>
      <c r="E1" s="1" t="s">
        <v>3</v>
      </c>
      <c r="F1" s="1" t="s">
        <v>4</v>
      </c>
      <c r="G1" s="1" t="s">
        <v>5</v>
      </c>
      <c r="H1" s="1" t="s">
        <v>6</v>
      </c>
      <c r="I1" s="2"/>
      <c r="J1" s="1" t="s">
        <v>7</v>
      </c>
    </row>
    <row r="2">
      <c r="A2" s="1" t="s">
        <v>8</v>
      </c>
      <c r="B2" s="1">
        <v>20.5</v>
      </c>
      <c r="C2" s="1">
        <v>4.25</v>
      </c>
      <c r="D2" s="2"/>
      <c r="E2" s="1" t="s">
        <v>9</v>
      </c>
      <c r="F2" s="1">
        <v>2565462.0</v>
      </c>
      <c r="G2" s="1">
        <v>11.0</v>
      </c>
      <c r="H2" s="1">
        <v>4.29</v>
      </c>
      <c r="I2" s="2"/>
      <c r="J2" s="1" t="s">
        <v>8</v>
      </c>
      <c r="K2" s="3" t="s">
        <v>10</v>
      </c>
    </row>
    <row r="3">
      <c r="A3" s="1" t="s">
        <v>11</v>
      </c>
      <c r="B3" s="1">
        <v>44.6</v>
      </c>
      <c r="C3" s="1">
        <v>4.84</v>
      </c>
      <c r="D3" s="2"/>
      <c r="E3" s="1" t="s">
        <v>12</v>
      </c>
      <c r="F3" s="1">
        <v>2565500.0</v>
      </c>
      <c r="G3" s="1">
        <v>12.0</v>
      </c>
      <c r="H3" s="1">
        <v>4.7</v>
      </c>
      <c r="I3" s="2"/>
      <c r="J3" s="1" t="s">
        <v>11</v>
      </c>
      <c r="K3" s="3" t="s">
        <v>13</v>
      </c>
    </row>
    <row r="4">
      <c r="A4" s="1" t="s">
        <v>14</v>
      </c>
      <c r="B4" s="1">
        <v>1.2</v>
      </c>
      <c r="C4" s="1">
        <v>4.57</v>
      </c>
      <c r="D4" s="2"/>
      <c r="E4" s="1" t="s">
        <v>15</v>
      </c>
      <c r="F4" s="1">
        <v>2565349.0</v>
      </c>
      <c r="G4" s="1">
        <v>11.4</v>
      </c>
      <c r="H4" s="1">
        <v>4.44</v>
      </c>
      <c r="I4" s="2"/>
      <c r="J4" s="1" t="s">
        <v>16</v>
      </c>
      <c r="K4" s="3" t="s">
        <v>17</v>
      </c>
    </row>
    <row r="5">
      <c r="A5" s="1" t="s">
        <v>18</v>
      </c>
      <c r="B5" s="1">
        <v>1.0</v>
      </c>
      <c r="C5" s="1">
        <v>4.86</v>
      </c>
      <c r="D5" s="2"/>
      <c r="E5" s="4" t="s">
        <v>19</v>
      </c>
      <c r="I5" s="2"/>
    </row>
    <row r="6">
      <c r="A6" s="1" t="s">
        <v>20</v>
      </c>
      <c r="B6" s="1">
        <v>0.2</v>
      </c>
      <c r="C6" s="1">
        <v>5.27</v>
      </c>
      <c r="D6" s="2"/>
      <c r="E6" s="2"/>
      <c r="F6" s="2"/>
      <c r="G6" s="2"/>
      <c r="H6" s="2"/>
      <c r="I6" s="2"/>
    </row>
    <row r="7">
      <c r="A7" s="1" t="s">
        <v>21</v>
      </c>
      <c r="B7" s="1">
        <v>0.09</v>
      </c>
      <c r="C7" s="1">
        <v>5.05</v>
      </c>
      <c r="D7" s="2"/>
      <c r="E7" s="1" t="s">
        <v>3</v>
      </c>
      <c r="F7" s="1" t="s">
        <v>4</v>
      </c>
      <c r="G7" s="1" t="s">
        <v>5</v>
      </c>
      <c r="H7" s="1" t="s">
        <v>6</v>
      </c>
      <c r="I7" s="2"/>
    </row>
    <row r="8">
      <c r="A8" s="1" t="s">
        <v>22</v>
      </c>
      <c r="B8" s="1">
        <v>3.4</v>
      </c>
      <c r="C8" s="1">
        <v>4.67</v>
      </c>
      <c r="D8" s="2"/>
      <c r="E8" s="1" t="s">
        <v>9</v>
      </c>
      <c r="F8" s="1">
        <v>5575693.0</v>
      </c>
      <c r="G8" s="1">
        <v>27.2</v>
      </c>
      <c r="H8" s="1">
        <v>4.88</v>
      </c>
      <c r="I8" s="2"/>
    </row>
    <row r="9">
      <c r="A9" s="1" t="s">
        <v>23</v>
      </c>
      <c r="B9" s="1">
        <v>3.8</v>
      </c>
      <c r="C9" s="1">
        <v>4.58</v>
      </c>
      <c r="D9" s="2"/>
      <c r="E9" s="1" t="s">
        <v>12</v>
      </c>
      <c r="F9" s="1">
        <v>5576446.0</v>
      </c>
      <c r="G9" s="1">
        <v>29.6</v>
      </c>
      <c r="H9" s="1">
        <v>5.32</v>
      </c>
      <c r="I9" s="2"/>
    </row>
    <row r="10">
      <c r="A10" s="1" t="s">
        <v>24</v>
      </c>
      <c r="B10" s="1">
        <v>37.1</v>
      </c>
      <c r="C10" s="1">
        <v>2.0</v>
      </c>
      <c r="D10" s="2"/>
      <c r="E10" s="1" t="s">
        <v>15</v>
      </c>
      <c r="F10" s="1">
        <v>5575268.0</v>
      </c>
      <c r="G10" s="1">
        <v>27.4</v>
      </c>
      <c r="H10" s="1">
        <v>4.91</v>
      </c>
      <c r="I10" s="2"/>
    </row>
    <row r="11">
      <c r="A11" s="1" t="s">
        <v>25</v>
      </c>
      <c r="B11" s="1">
        <v>19.8</v>
      </c>
      <c r="C11" s="1">
        <v>5.0</v>
      </c>
      <c r="D11" s="2"/>
      <c r="E11" s="4" t="s">
        <v>26</v>
      </c>
      <c r="I11" s="2"/>
    </row>
    <row r="12">
      <c r="A12" s="2"/>
      <c r="B12" s="2"/>
      <c r="C12" s="2"/>
      <c r="D12" s="2"/>
      <c r="E12" s="2"/>
      <c r="F12" s="2"/>
      <c r="G12" s="2"/>
      <c r="H12" s="2"/>
      <c r="I12" s="2"/>
    </row>
    <row r="13">
      <c r="A13" s="5" t="s">
        <v>27</v>
      </c>
      <c r="D13" s="2"/>
      <c r="E13" s="1" t="s">
        <v>3</v>
      </c>
      <c r="F13" s="1" t="s">
        <v>4</v>
      </c>
      <c r="G13" s="1" t="s">
        <v>5</v>
      </c>
      <c r="H13" s="1" t="s">
        <v>6</v>
      </c>
      <c r="I13" s="2"/>
    </row>
    <row r="14">
      <c r="D14" s="2"/>
      <c r="E14" s="1" t="s">
        <v>9</v>
      </c>
      <c r="F14" s="1">
        <v>152529.0</v>
      </c>
      <c r="G14" s="1">
        <v>0.7</v>
      </c>
      <c r="H14" s="1">
        <v>4.61</v>
      </c>
      <c r="I14" s="2"/>
    </row>
    <row r="15">
      <c r="D15" s="2"/>
      <c r="E15" s="1" t="s">
        <v>12</v>
      </c>
      <c r="F15" s="1">
        <v>152871.0</v>
      </c>
      <c r="G15" s="1">
        <v>0.8</v>
      </c>
      <c r="H15" s="1">
        <v>5.11</v>
      </c>
      <c r="I15" s="2"/>
    </row>
    <row r="16">
      <c r="A16" s="6" t="s">
        <v>28</v>
      </c>
      <c r="D16" s="2"/>
      <c r="E16" s="1" t="s">
        <v>15</v>
      </c>
      <c r="F16" s="1">
        <v>152236.0</v>
      </c>
      <c r="G16" s="1">
        <v>0.7</v>
      </c>
      <c r="H16" s="1">
        <v>4.67</v>
      </c>
      <c r="I16" s="2"/>
    </row>
    <row r="17">
      <c r="D17" s="2"/>
      <c r="E17" s="4" t="s">
        <v>29</v>
      </c>
      <c r="I17" s="2"/>
    </row>
    <row r="18">
      <c r="D18" s="2"/>
      <c r="E18" s="2"/>
      <c r="F18" s="2"/>
      <c r="G18" s="2"/>
      <c r="H18" s="2"/>
      <c r="I18" s="2"/>
    </row>
    <row r="19">
      <c r="D19" s="2"/>
      <c r="E19" s="1" t="s">
        <v>3</v>
      </c>
      <c r="F19" s="1" t="s">
        <v>4</v>
      </c>
      <c r="G19" s="1" t="s">
        <v>5</v>
      </c>
      <c r="H19" s="1" t="s">
        <v>6</v>
      </c>
      <c r="I19" s="2"/>
    </row>
    <row r="20">
      <c r="A20" s="6" t="s">
        <v>30</v>
      </c>
      <c r="D20" s="2"/>
      <c r="E20" s="1" t="s">
        <v>9</v>
      </c>
      <c r="F20" s="1">
        <v>129705.0</v>
      </c>
      <c r="G20" s="1">
        <v>0.6</v>
      </c>
      <c r="H20" s="1">
        <v>4.89</v>
      </c>
      <c r="I20" s="2"/>
    </row>
    <row r="21">
      <c r="D21" s="2"/>
      <c r="E21" s="1" t="s">
        <v>12</v>
      </c>
      <c r="F21" s="1">
        <v>129947.0</v>
      </c>
      <c r="G21" s="1">
        <v>0.7</v>
      </c>
      <c r="H21" s="1">
        <v>5.33</v>
      </c>
      <c r="I21" s="2"/>
    </row>
    <row r="22">
      <c r="D22" s="2"/>
      <c r="E22" s="1" t="s">
        <v>15</v>
      </c>
      <c r="F22" s="1">
        <v>129432.0</v>
      </c>
      <c r="G22" s="1">
        <v>0.6</v>
      </c>
      <c r="H22" s="1">
        <v>4.92</v>
      </c>
      <c r="I22" s="2"/>
    </row>
    <row r="23">
      <c r="D23" s="2"/>
      <c r="E23" s="4" t="s">
        <v>31</v>
      </c>
      <c r="I23" s="2"/>
    </row>
    <row r="24">
      <c r="D24" s="2"/>
      <c r="E24" s="2"/>
      <c r="F24" s="2"/>
      <c r="G24" s="2"/>
      <c r="H24" s="2"/>
      <c r="I24" s="2"/>
    </row>
    <row r="25">
      <c r="D25" s="2"/>
      <c r="E25" s="1" t="s">
        <v>3</v>
      </c>
      <c r="F25" s="1" t="s">
        <v>4</v>
      </c>
      <c r="G25" s="1" t="s">
        <v>5</v>
      </c>
      <c r="H25" s="1" t="s">
        <v>6</v>
      </c>
      <c r="I25" s="2"/>
    </row>
    <row r="26">
      <c r="D26" s="2"/>
      <c r="E26" s="1" t="s">
        <v>9</v>
      </c>
      <c r="F26" s="1">
        <v>25735.0</v>
      </c>
      <c r="G26" s="1">
        <v>0.1</v>
      </c>
      <c r="H26" s="1">
        <v>5.31</v>
      </c>
      <c r="I26" s="2"/>
    </row>
    <row r="27">
      <c r="D27" s="2"/>
      <c r="E27" s="1" t="s">
        <v>12</v>
      </c>
      <c r="F27" s="1">
        <v>26066.0</v>
      </c>
      <c r="G27" s="1">
        <v>0.1</v>
      </c>
      <c r="H27" s="1">
        <v>5.86</v>
      </c>
      <c r="I27" s="2"/>
    </row>
    <row r="28">
      <c r="D28" s="2"/>
      <c r="E28" s="1" t="s">
        <v>15</v>
      </c>
      <c r="F28" s="1">
        <v>25394.0</v>
      </c>
      <c r="G28" s="1">
        <v>0.1</v>
      </c>
      <c r="H28" s="1">
        <v>5.37</v>
      </c>
      <c r="I28" s="2"/>
    </row>
    <row r="29">
      <c r="D29" s="2"/>
      <c r="E29" s="4" t="s">
        <v>32</v>
      </c>
      <c r="I29" s="2"/>
    </row>
    <row r="30">
      <c r="D30" s="2"/>
      <c r="E30" s="2"/>
      <c r="F30" s="2"/>
      <c r="G30" s="2"/>
      <c r="H30" s="2"/>
      <c r="I30" s="2"/>
    </row>
    <row r="31">
      <c r="D31" s="2"/>
      <c r="E31" s="1" t="s">
        <v>3</v>
      </c>
      <c r="F31" s="1" t="s">
        <v>4</v>
      </c>
      <c r="G31" s="1" t="s">
        <v>5</v>
      </c>
      <c r="H31" s="1" t="s">
        <v>6</v>
      </c>
      <c r="I31" s="2"/>
    </row>
    <row r="32">
      <c r="D32" s="2"/>
      <c r="E32" s="1" t="s">
        <v>9</v>
      </c>
      <c r="F32" s="1">
        <v>12123.0</v>
      </c>
      <c r="G32" s="1">
        <v>0.06</v>
      </c>
      <c r="H32" s="1">
        <v>5.09</v>
      </c>
      <c r="I32" s="2"/>
    </row>
    <row r="33">
      <c r="D33" s="2"/>
      <c r="E33" s="1" t="s">
        <v>12</v>
      </c>
      <c r="F33" s="1">
        <v>12461.0</v>
      </c>
      <c r="G33" s="1">
        <v>0.06</v>
      </c>
      <c r="H33" s="1">
        <v>5.56</v>
      </c>
      <c r="I33" s="2"/>
    </row>
    <row r="34">
      <c r="D34" s="2"/>
      <c r="E34" s="1" t="s">
        <v>15</v>
      </c>
      <c r="F34" s="1">
        <v>11762.0</v>
      </c>
      <c r="G34" s="1">
        <v>0.06</v>
      </c>
      <c r="H34" s="1">
        <v>5.2</v>
      </c>
      <c r="I34" s="2"/>
    </row>
    <row r="35">
      <c r="D35" s="2"/>
      <c r="E35" s="4" t="s">
        <v>33</v>
      </c>
      <c r="I35" s="2"/>
    </row>
    <row r="36">
      <c r="D36" s="2"/>
      <c r="E36" s="2"/>
      <c r="F36" s="2"/>
      <c r="G36" s="2"/>
      <c r="H36" s="2"/>
      <c r="I36" s="2"/>
    </row>
    <row r="37">
      <c r="D37" s="2"/>
      <c r="E37" s="1" t="s">
        <v>3</v>
      </c>
      <c r="F37" s="1" t="s">
        <v>4</v>
      </c>
      <c r="G37" s="1" t="s">
        <v>5</v>
      </c>
      <c r="H37" s="1" t="s">
        <v>6</v>
      </c>
      <c r="I37" s="2"/>
    </row>
    <row r="38">
      <c r="D38" s="2"/>
      <c r="E38" s="1" t="s">
        <v>9</v>
      </c>
      <c r="F38" s="1">
        <v>426969.0</v>
      </c>
      <c r="G38" s="1">
        <v>2.0</v>
      </c>
      <c r="H38" s="1">
        <v>4.7</v>
      </c>
      <c r="I38" s="2"/>
    </row>
    <row r="39">
      <c r="D39" s="2"/>
      <c r="E39" s="1" t="s">
        <v>12</v>
      </c>
      <c r="F39" s="1">
        <v>427358.0</v>
      </c>
      <c r="G39" s="1">
        <v>2.2</v>
      </c>
      <c r="H39" s="1">
        <v>5.21</v>
      </c>
      <c r="I39" s="2"/>
    </row>
    <row r="40">
      <c r="D40" s="2"/>
      <c r="E40" s="1" t="s">
        <v>15</v>
      </c>
      <c r="F40" s="1">
        <v>426636.0</v>
      </c>
      <c r="G40" s="1">
        <v>2.1</v>
      </c>
      <c r="H40" s="1">
        <v>4.85</v>
      </c>
      <c r="I40" s="2"/>
    </row>
    <row r="41">
      <c r="D41" s="2"/>
      <c r="E41" s="4" t="s">
        <v>34</v>
      </c>
      <c r="I41" s="2"/>
    </row>
    <row r="42">
      <c r="D42" s="2"/>
      <c r="E42" s="2"/>
      <c r="F42" s="2"/>
      <c r="G42" s="2"/>
      <c r="H42" s="2"/>
      <c r="I42" s="2"/>
    </row>
    <row r="43">
      <c r="D43" s="2"/>
      <c r="E43" s="1" t="s">
        <v>3</v>
      </c>
      <c r="F43" s="1" t="s">
        <v>4</v>
      </c>
      <c r="G43" s="1" t="s">
        <v>5</v>
      </c>
      <c r="H43" s="1" t="s">
        <v>6</v>
      </c>
      <c r="I43" s="2"/>
    </row>
    <row r="44">
      <c r="D44" s="2"/>
      <c r="E44" s="1" t="s">
        <v>9</v>
      </c>
      <c r="F44" s="1">
        <v>470950.0</v>
      </c>
      <c r="G44" s="1">
        <v>2.2</v>
      </c>
      <c r="H44" s="1">
        <v>4.61</v>
      </c>
      <c r="I44" s="2"/>
    </row>
    <row r="45">
      <c r="D45" s="2"/>
      <c r="E45" s="1" t="s">
        <v>12</v>
      </c>
      <c r="F45" s="1">
        <v>471400.0</v>
      </c>
      <c r="G45" s="1">
        <v>2.4</v>
      </c>
      <c r="H45" s="1">
        <v>5.06</v>
      </c>
      <c r="I45" s="2"/>
    </row>
    <row r="46">
      <c r="D46" s="2"/>
      <c r="E46" s="1" t="s">
        <v>15</v>
      </c>
      <c r="F46" s="1">
        <v>470629.0</v>
      </c>
      <c r="G46" s="1">
        <v>2.2</v>
      </c>
      <c r="H46" s="1">
        <v>4.73</v>
      </c>
      <c r="I46" s="2"/>
    </row>
    <row r="47">
      <c r="D47" s="2"/>
      <c r="E47" s="4" t="s">
        <v>35</v>
      </c>
      <c r="I47" s="2"/>
    </row>
    <row r="48">
      <c r="D48" s="2"/>
      <c r="E48" s="2"/>
      <c r="F48" s="2"/>
      <c r="G48" s="2"/>
      <c r="H48" s="2"/>
      <c r="I48" s="2"/>
    </row>
    <row r="49">
      <c r="D49" s="2"/>
      <c r="E49" s="1" t="s">
        <v>3</v>
      </c>
      <c r="F49" s="1" t="s">
        <v>4</v>
      </c>
      <c r="G49" s="1" t="s">
        <v>5</v>
      </c>
      <c r="H49" s="1" t="s">
        <v>6</v>
      </c>
      <c r="I49" s="2"/>
    </row>
    <row r="50">
      <c r="D50" s="2"/>
      <c r="E50" s="1" t="s">
        <v>9</v>
      </c>
      <c r="F50" s="1">
        <v>4638710.0</v>
      </c>
      <c r="G50" s="1">
        <v>9.3</v>
      </c>
      <c r="H50" s="1">
        <v>2.0</v>
      </c>
      <c r="I50" s="2"/>
    </row>
    <row r="51">
      <c r="D51" s="2"/>
      <c r="E51" s="1" t="s">
        <v>12</v>
      </c>
      <c r="F51" s="1">
        <v>4638704.0</v>
      </c>
      <c r="G51" s="1">
        <v>11.6</v>
      </c>
      <c r="H51" s="1">
        <v>2.49</v>
      </c>
      <c r="I51" s="2"/>
    </row>
    <row r="52">
      <c r="D52" s="2"/>
      <c r="E52" s="1" t="s">
        <v>15</v>
      </c>
      <c r="F52" s="1">
        <v>4638697.0</v>
      </c>
      <c r="G52" s="1">
        <v>9.3</v>
      </c>
      <c r="H52" s="1">
        <v>2.0</v>
      </c>
      <c r="I52" s="2"/>
    </row>
    <row r="53">
      <c r="D53" s="2"/>
      <c r="E53" s="4" t="s">
        <v>36</v>
      </c>
      <c r="I53" s="2"/>
    </row>
    <row r="54">
      <c r="D54" s="2"/>
      <c r="E54" s="2"/>
      <c r="F54" s="2"/>
      <c r="G54" s="2"/>
      <c r="H54" s="2"/>
      <c r="I54" s="2"/>
    </row>
    <row r="55">
      <c r="D55" s="2"/>
      <c r="E55" s="1" t="s">
        <v>3</v>
      </c>
      <c r="F55" s="1" t="s">
        <v>4</v>
      </c>
      <c r="G55" s="1" t="s">
        <v>5</v>
      </c>
      <c r="H55" s="1" t="s">
        <v>6</v>
      </c>
      <c r="I55" s="2"/>
    </row>
    <row r="56">
      <c r="D56" s="2"/>
      <c r="E56" s="1" t="s">
        <v>9</v>
      </c>
      <c r="F56" s="1">
        <v>2473960.0</v>
      </c>
      <c r="G56" s="1">
        <v>12.5</v>
      </c>
      <c r="H56" s="1">
        <v>5.04</v>
      </c>
      <c r="I56" s="2"/>
    </row>
    <row r="57">
      <c r="D57" s="2"/>
      <c r="E57" s="1" t="s">
        <v>12</v>
      </c>
      <c r="F57" s="1">
        <v>2474426.0</v>
      </c>
      <c r="G57" s="1">
        <v>13.6</v>
      </c>
      <c r="H57" s="1">
        <v>5.51</v>
      </c>
      <c r="I57" s="2"/>
    </row>
    <row r="58">
      <c r="D58" s="2"/>
      <c r="E58" s="1" t="s">
        <v>15</v>
      </c>
      <c r="F58" s="1">
        <v>2473587.0</v>
      </c>
      <c r="G58" s="1">
        <v>12.6</v>
      </c>
      <c r="H58" s="1">
        <v>5.09</v>
      </c>
      <c r="I58" s="2"/>
    </row>
    <row r="59">
      <c r="D59" s="2"/>
      <c r="E59" s="4" t="s">
        <v>37</v>
      </c>
      <c r="I59" s="2"/>
    </row>
    <row r="60">
      <c r="D60" s="2"/>
      <c r="E60" s="2"/>
      <c r="F60" s="2"/>
      <c r="G60" s="2"/>
      <c r="H60" s="2"/>
      <c r="I60" s="2"/>
    </row>
  </sheetData>
  <mergeCells count="13">
    <mergeCell ref="E47:H47"/>
    <mergeCell ref="E53:H53"/>
    <mergeCell ref="E59:H59"/>
    <mergeCell ref="A13:C15"/>
    <mergeCell ref="A16:C19"/>
    <mergeCell ref="A20:C23"/>
    <mergeCell ref="E41:H41"/>
    <mergeCell ref="E35:H35"/>
    <mergeCell ref="E29:H29"/>
    <mergeCell ref="E23:H23"/>
    <mergeCell ref="E17:H17"/>
    <mergeCell ref="E11:H11"/>
    <mergeCell ref="E5:H5"/>
  </mergeCells>
  <hyperlinks>
    <hyperlink r:id="rId1" ref="K2"/>
    <hyperlink r:id="rId2" ref="K3"/>
    <hyperlink r:id="rId3" ref="K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63"/>
  </cols>
  <sheetData>
    <row r="1">
      <c r="A1" s="1" t="s">
        <v>38</v>
      </c>
      <c r="B1" s="1" t="s">
        <v>21</v>
      </c>
      <c r="C1" s="1" t="s">
        <v>20</v>
      </c>
      <c r="D1" s="1" t="s">
        <v>18</v>
      </c>
      <c r="E1" s="1" t="s">
        <v>14</v>
      </c>
      <c r="F1" s="1" t="s">
        <v>22</v>
      </c>
      <c r="G1" s="1" t="s">
        <v>23</v>
      </c>
      <c r="H1" s="1" t="s">
        <v>25</v>
      </c>
      <c r="I1" s="1" t="s">
        <v>8</v>
      </c>
      <c r="J1" s="1" t="s">
        <v>24</v>
      </c>
      <c r="K1" s="1" t="s">
        <v>11</v>
      </c>
    </row>
    <row r="2">
      <c r="B2" s="7">
        <f>Data!B7</f>
        <v>0.09</v>
      </c>
      <c r="C2" s="7">
        <f>Data!B6</f>
        <v>0.2</v>
      </c>
      <c r="D2" s="7">
        <f>Data!B5</f>
        <v>1</v>
      </c>
      <c r="E2" s="7">
        <f>Data!B4</f>
        <v>1.2</v>
      </c>
      <c r="F2" s="7">
        <f>Data!B8</f>
        <v>3.4</v>
      </c>
      <c r="G2" s="7">
        <f>Data!B9</f>
        <v>3.8</v>
      </c>
      <c r="H2" s="7">
        <f>Data!B11</f>
        <v>19.8</v>
      </c>
      <c r="I2" s="7">
        <f>Data!B2</f>
        <v>20.5</v>
      </c>
      <c r="J2" s="7">
        <f>Data!B10</f>
        <v>37.1</v>
      </c>
      <c r="K2" s="7">
        <f>Data!B3</f>
        <v>44.6</v>
      </c>
    </row>
    <row r="3">
      <c r="A3" s="1" t="s">
        <v>9</v>
      </c>
      <c r="B3" s="7">
        <f>Data!H32</f>
        <v>5.09</v>
      </c>
      <c r="C3" s="7">
        <f>Data!H26</f>
        <v>5.31</v>
      </c>
      <c r="D3" s="7">
        <f>Data!H20</f>
        <v>4.89</v>
      </c>
      <c r="E3" s="7">
        <f>Data!H14</f>
        <v>4.61</v>
      </c>
      <c r="F3" s="7">
        <f>Data!H38</f>
        <v>4.7</v>
      </c>
      <c r="G3" s="7">
        <f>Data!H44</f>
        <v>4.61</v>
      </c>
      <c r="H3" s="7">
        <f>Data!H56</f>
        <v>5.04</v>
      </c>
      <c r="I3" s="7">
        <f>Data!H2</f>
        <v>4.29</v>
      </c>
      <c r="J3" s="7">
        <f>Data!H50</f>
        <v>2</v>
      </c>
      <c r="K3" s="7">
        <f>Data!H8</f>
        <v>4.88</v>
      </c>
    </row>
    <row r="4">
      <c r="A4" s="1" t="s">
        <v>12</v>
      </c>
      <c r="B4" s="7">
        <f>Data!H33</f>
        <v>5.56</v>
      </c>
      <c r="C4" s="7">
        <f>Data!H27</f>
        <v>5.86</v>
      </c>
      <c r="D4" s="7">
        <f>Data!H21</f>
        <v>5.33</v>
      </c>
      <c r="E4" s="7">
        <f>Data!H15</f>
        <v>5.11</v>
      </c>
      <c r="F4" s="7">
        <f>Data!H39</f>
        <v>5.21</v>
      </c>
      <c r="G4" s="7">
        <f>Data!H45</f>
        <v>5.06</v>
      </c>
      <c r="H4" s="7">
        <f>Data!H57</f>
        <v>5.51</v>
      </c>
      <c r="I4" s="7">
        <f>Data!H3</f>
        <v>4.7</v>
      </c>
      <c r="J4" s="7">
        <f>Data!H51</f>
        <v>2.49</v>
      </c>
      <c r="K4" s="7">
        <f>Data!H9</f>
        <v>5.32</v>
      </c>
    </row>
    <row r="5">
      <c r="A5" s="1" t="s">
        <v>15</v>
      </c>
      <c r="B5" s="7">
        <f>Data!H34</f>
        <v>5.2</v>
      </c>
      <c r="C5" s="7">
        <f>Data!H28</f>
        <v>5.37</v>
      </c>
      <c r="D5" s="7">
        <f>Data!H22</f>
        <v>4.92</v>
      </c>
      <c r="E5" s="7">
        <f>Data!H16</f>
        <v>4.67</v>
      </c>
      <c r="F5" s="7">
        <f>Data!H40</f>
        <v>4.85</v>
      </c>
      <c r="G5" s="7">
        <f>Data!H46</f>
        <v>4.73</v>
      </c>
      <c r="H5" s="7">
        <f>Data!H58</f>
        <v>5.09</v>
      </c>
      <c r="I5" s="7">
        <f>Data!H4</f>
        <v>4.44</v>
      </c>
      <c r="J5" s="7">
        <f>Data!H52</f>
        <v>2</v>
      </c>
      <c r="K5" s="7">
        <f>Data!H10</f>
        <v>4.91</v>
      </c>
    </row>
    <row r="7">
      <c r="A7" s="1" t="s">
        <v>39</v>
      </c>
      <c r="B7" s="1" t="s">
        <v>24</v>
      </c>
      <c r="C7" s="1" t="s">
        <v>8</v>
      </c>
      <c r="D7" s="1" t="s">
        <v>14</v>
      </c>
      <c r="E7" s="1" t="s">
        <v>23</v>
      </c>
      <c r="F7" s="1" t="s">
        <v>22</v>
      </c>
      <c r="G7" s="1" t="s">
        <v>11</v>
      </c>
      <c r="H7" s="1" t="s">
        <v>18</v>
      </c>
      <c r="I7" s="1" t="s">
        <v>25</v>
      </c>
      <c r="J7" s="1" t="s">
        <v>21</v>
      </c>
      <c r="K7" s="1" t="s">
        <v>20</v>
      </c>
    </row>
    <row r="8">
      <c r="B8" s="7">
        <f>Data!C10</f>
        <v>2</v>
      </c>
      <c r="C8" s="7">
        <f>Data!C2</f>
        <v>4.25</v>
      </c>
      <c r="D8" s="7">
        <f>Data!C4</f>
        <v>4.57</v>
      </c>
      <c r="E8" s="7">
        <f>Data!C9</f>
        <v>4.58</v>
      </c>
      <c r="F8" s="7">
        <f>Data!C8</f>
        <v>4.67</v>
      </c>
      <c r="G8" s="7">
        <f>Data!C3</f>
        <v>4.84</v>
      </c>
      <c r="H8" s="7">
        <f>Data!C5</f>
        <v>4.86</v>
      </c>
      <c r="I8" s="7">
        <f>Data!C11</f>
        <v>5</v>
      </c>
      <c r="J8" s="7">
        <f>Data!C7</f>
        <v>5.05</v>
      </c>
      <c r="K8" s="7">
        <f>Data!C6</f>
        <v>5.27</v>
      </c>
    </row>
    <row r="9">
      <c r="A9" s="1" t="s">
        <v>9</v>
      </c>
      <c r="B9" s="7">
        <f t="shared" ref="B9:B11" si="2">J3</f>
        <v>2</v>
      </c>
      <c r="C9" s="7">
        <f t="shared" ref="C9:C11" si="3">I3</f>
        <v>4.29</v>
      </c>
      <c r="D9" s="7">
        <f t="shared" ref="D9:D11" si="4">E3</f>
        <v>4.61</v>
      </c>
      <c r="E9" s="7">
        <f t="shared" ref="E9:E11" si="5">G3</f>
        <v>4.61</v>
      </c>
      <c r="F9" s="7">
        <f t="shared" ref="F9:F11" si="6">F3</f>
        <v>4.7</v>
      </c>
      <c r="G9" s="7">
        <f t="shared" ref="G9:G11" si="7">K3</f>
        <v>4.88</v>
      </c>
      <c r="H9" s="7">
        <f t="shared" ref="H9:H11" si="8">D3</f>
        <v>4.89</v>
      </c>
      <c r="I9" s="7">
        <f t="shared" ref="I9:I11" si="9">H3</f>
        <v>5.04</v>
      </c>
      <c r="J9" s="7">
        <f t="shared" ref="J9:K9" si="1">B3</f>
        <v>5.09</v>
      </c>
      <c r="K9" s="7">
        <f t="shared" si="1"/>
        <v>5.31</v>
      </c>
    </row>
    <row r="10">
      <c r="A10" s="1" t="s">
        <v>12</v>
      </c>
      <c r="B10" s="7">
        <f t="shared" si="2"/>
        <v>2.49</v>
      </c>
      <c r="C10" s="7">
        <f t="shared" si="3"/>
        <v>4.7</v>
      </c>
      <c r="D10" s="7">
        <f t="shared" si="4"/>
        <v>5.11</v>
      </c>
      <c r="E10" s="7">
        <f t="shared" si="5"/>
        <v>5.06</v>
      </c>
      <c r="F10" s="7">
        <f t="shared" si="6"/>
        <v>5.21</v>
      </c>
      <c r="G10" s="7">
        <f t="shared" si="7"/>
        <v>5.32</v>
      </c>
      <c r="H10" s="7">
        <f t="shared" si="8"/>
        <v>5.33</v>
      </c>
      <c r="I10" s="7">
        <f t="shared" si="9"/>
        <v>5.51</v>
      </c>
      <c r="J10" s="7">
        <f t="shared" ref="J10:K10" si="10">B4</f>
        <v>5.56</v>
      </c>
      <c r="K10" s="7">
        <f t="shared" si="10"/>
        <v>5.86</v>
      </c>
    </row>
    <row r="11">
      <c r="A11" s="1" t="s">
        <v>15</v>
      </c>
      <c r="B11" s="7">
        <f t="shared" si="2"/>
        <v>2</v>
      </c>
      <c r="C11" s="7">
        <f t="shared" si="3"/>
        <v>4.44</v>
      </c>
      <c r="D11" s="7">
        <f t="shared" si="4"/>
        <v>4.67</v>
      </c>
      <c r="E11" s="7">
        <f t="shared" si="5"/>
        <v>4.73</v>
      </c>
      <c r="F11" s="7">
        <f t="shared" si="6"/>
        <v>4.85</v>
      </c>
      <c r="G11" s="7">
        <f t="shared" si="7"/>
        <v>4.91</v>
      </c>
      <c r="H11" s="7">
        <f t="shared" si="8"/>
        <v>4.92</v>
      </c>
      <c r="I11" s="7">
        <f t="shared" si="9"/>
        <v>5.09</v>
      </c>
      <c r="J11" s="7">
        <f t="shared" ref="J11:K11" si="11">B5</f>
        <v>5.2</v>
      </c>
      <c r="K11" s="7">
        <f t="shared" si="11"/>
        <v>5.37</v>
      </c>
    </row>
  </sheetData>
  <printOptions gridLines="1" horizontalCentered="1"/>
  <pageMargins bottom="0.75" footer="0.0" header="0.0" left="0.7" right="0.7" top="0.75"/>
  <pageSetup fitToHeight="0" cellComments="atEnd" orientation="landscape" pageOrder="overThenDown"/>
  <drawing r:id="rId1"/>
</worksheet>
</file>